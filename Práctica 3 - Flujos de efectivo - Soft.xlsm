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M_\OneDrive\Escritorio\"/>
    </mc:Choice>
  </mc:AlternateContent>
  <xr:revisionPtr revIDLastSave="5114" documentId="6_{7622770E-C133-4211-94A4-AB4C918EC8C7}" xr6:coauthVersionLast="41" xr6:coauthVersionMax="41" xr10:uidLastSave="{53C7B5E5-AA5C-483F-8BA5-B3EFFE4AC0CC}"/>
  <bookViews>
    <workbookView xWindow="0" yWindow="924" windowWidth="17280" windowHeight="8964" activeTab="1" xr2:uid="{F74B20F3-67D5-47E7-9798-DE437C79B85F}"/>
  </bookViews>
  <sheets>
    <sheet name="Hoja1" sheetId="1" r:id="rId1"/>
    <sheet name="Hoja3" sheetId="34" r:id="rId2"/>
    <sheet name="Hoja2" sheetId="3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1" l="1"/>
  <c r="B11" i="1"/>
  <c r="C11" i="1" l="1"/>
  <c r="D11" i="1"/>
  <c r="E11" i="1"/>
  <c r="F11" i="1"/>
  <c r="G11" i="1"/>
  <c r="H11" i="1"/>
  <c r="I11" i="1"/>
  <c r="J11" i="1"/>
  <c r="K11" i="1"/>
  <c r="D10" i="1"/>
  <c r="C10" i="1"/>
  <c r="E10" i="1"/>
  <c r="F10" i="1" s="1"/>
  <c r="G10" i="1" s="1"/>
  <c r="H10" i="1" s="1"/>
  <c r="I10" i="1" s="1"/>
  <c r="J10" i="1" s="1"/>
  <c r="K10" i="1" s="1"/>
  <c r="B10" i="1"/>
</calcChain>
</file>

<file path=xl/sharedStrings.xml><?xml version="1.0" encoding="utf-8"?>
<sst xmlns="http://schemas.openxmlformats.org/spreadsheetml/2006/main" count="39" uniqueCount="18">
  <si>
    <t>Datos de entrada</t>
  </si>
  <si>
    <t>Cálculo del valor presente neto de una serie de flujos</t>
  </si>
  <si>
    <t>2. Flujo de entrada al final del año 1</t>
  </si>
  <si>
    <t>3. Tasa de incremento del flujo de entrada al año</t>
  </si>
  <si>
    <t>4. Número de años de los flujos de entrada</t>
  </si>
  <si>
    <t>5. Tasa de descuento</t>
  </si>
  <si>
    <t>1. Flujo de salida al inicio del año  (inversión inicial)</t>
  </si>
  <si>
    <t>modelo de flujos</t>
  </si>
  <si>
    <t>año</t>
  </si>
  <si>
    <t>Flujo de efectivo</t>
  </si>
  <si>
    <t>(interés simple)</t>
  </si>
  <si>
    <t>Factor de descuento</t>
  </si>
  <si>
    <t>Valor Presente Neto</t>
  </si>
  <si>
    <t>1. Flujo de salida al inicio del año (inversión inicial)</t>
  </si>
  <si>
    <t>Modelo de Flujos</t>
  </si>
  <si>
    <t>Año</t>
  </si>
  <si>
    <t>Tasa</t>
  </si>
  <si>
    <t>VPN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</si>
</sst>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3" fontId="0" fillId="0" borderId="0" xfId="0" applyNumberFormat="1"/>
    <xf numFmtId="0" fontId="0" fillId="2" borderId="0" xfId="0" applyFill="1"/>
    <xf numFmtId="3" fontId="0" fillId="2" borderId="0" xfId="0" applyNumberFormat="1" applyFill="1"/>
    <xf numFmtId="9" fontId="0" fillId="2" borderId="0" xfId="0" applyNumberFormat="1" applyFill="1"/>
    <xf numFmtId="0" fontId="2" fillId="0" borderId="0" xfId="0" applyFont="1"/>
    <xf numFmtId="44" fontId="0" fillId="0" borderId="0" xfId="1" applyFont="1"/>
    <xf numFmtId="44" fontId="0" fillId="0" borderId="0" xfId="0" applyNumberFormat="1"/>
    <xf numFmtId="44" fontId="0" fillId="2" borderId="0" xfId="1" applyFont="1" applyFill="1"/>
    <xf numFmtId="9" fontId="0" fillId="2" borderId="0" xfId="2" applyFont="1" applyFill="1"/>
    <xf numFmtId="9" fontId="0" fillId="0" borderId="0" xfId="2" applyFon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7922-BC5C-499F-969B-66B13C2479DE}">
  <sheetPr codeName="Hoja1"/>
  <dimension ref="A1:K13"/>
  <sheetViews>
    <sheetView workbookViewId="0">
      <selection activeCell="B13" sqref="B13"/>
    </sheetView>
  </sheetViews>
  <sheetFormatPr baseColWidth="10" defaultRowHeight="14.4" x14ac:dyDescent="0.3"/>
  <cols>
    <col min="1" max="1" width="48.6640625" customWidth="1"/>
  </cols>
  <sheetData>
    <row r="1" spans="1:11" x14ac:dyDescent="0.3">
      <c r="A1" s="5" t="s">
        <v>0</v>
      </c>
      <c r="D1" t="s">
        <v>1</v>
      </c>
    </row>
    <row r="2" spans="1:11" x14ac:dyDescent="0.3">
      <c r="A2" t="s">
        <v>6</v>
      </c>
      <c r="B2" s="3">
        <v>40000</v>
      </c>
    </row>
    <row r="3" spans="1:11" x14ac:dyDescent="0.3">
      <c r="A3" t="s">
        <v>2</v>
      </c>
      <c r="B3" s="3">
        <v>12000</v>
      </c>
    </row>
    <row r="4" spans="1:11" x14ac:dyDescent="0.3">
      <c r="A4" t="s">
        <v>3</v>
      </c>
      <c r="B4" s="4">
        <v>0.12</v>
      </c>
    </row>
    <row r="5" spans="1:11" x14ac:dyDescent="0.3">
      <c r="A5" t="s">
        <v>4</v>
      </c>
      <c r="B5" s="2">
        <v>10</v>
      </c>
    </row>
    <row r="6" spans="1:11" x14ac:dyDescent="0.3">
      <c r="A6" t="s">
        <v>5</v>
      </c>
      <c r="B6" s="4">
        <v>0.16</v>
      </c>
      <c r="C6" t="s">
        <v>10</v>
      </c>
    </row>
    <row r="8" spans="1:11" x14ac:dyDescent="0.3">
      <c r="A8" s="5" t="s">
        <v>7</v>
      </c>
    </row>
    <row r="9" spans="1:11" x14ac:dyDescent="0.3">
      <c r="A9" t="s">
        <v>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3">
      <c r="A10" t="s">
        <v>9</v>
      </c>
      <c r="B10" s="1">
        <f>B3</f>
        <v>12000</v>
      </c>
      <c r="C10" s="6">
        <f>B10*(1+$B$4)</f>
        <v>13440.000000000002</v>
      </c>
      <c r="D10" s="6">
        <f>C10*(1+$B$4)</f>
        <v>15052.800000000003</v>
      </c>
      <c r="E10" s="6">
        <f t="shared" ref="E10:K10" si="0">D10*(1+$B$4)</f>
        <v>16859.136000000006</v>
      </c>
      <c r="F10" s="6">
        <f t="shared" si="0"/>
        <v>18882.23232000001</v>
      </c>
      <c r="G10" s="6">
        <f t="shared" si="0"/>
        <v>21148.100198400014</v>
      </c>
      <c r="H10" s="6">
        <f t="shared" si="0"/>
        <v>23685.872222208018</v>
      </c>
      <c r="I10" s="6">
        <f t="shared" si="0"/>
        <v>26528.176888872982</v>
      </c>
      <c r="J10" s="6">
        <f t="shared" si="0"/>
        <v>29711.558115537744</v>
      </c>
      <c r="K10" s="6">
        <f t="shared" si="0"/>
        <v>33276.945089402274</v>
      </c>
    </row>
    <row r="11" spans="1:11" x14ac:dyDescent="0.3">
      <c r="A11" t="s">
        <v>11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3">
      <c r="A13" t="s">
        <v>12</v>
      </c>
      <c r="B13" s="7">
        <f>-B2+B10*B11+C10*C11+D10*D11+E10*E11+F10*F11+G10*G11+H10*H11+I10*I11+J10*J11+K10*K11</f>
        <v>70040.833314664094</v>
      </c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8BC84-D059-4825-8B92-CD99C787A5ED}">
  <sheetPr codeName="Hoja3"/>
  <dimension ref="A1:M20"/>
  <sheetViews>
    <sheetView tabSelected="1" workbookViewId="0"/>
  </sheetViews>
  <sheetFormatPr baseColWidth="10" defaultRowHeight="14.4" x14ac:dyDescent="0.3"/>
  <cols>
    <col min="1" max="1" width="42.21875" bestFit="1" customWidth="1"/>
  </cols>
  <sheetData>
    <row r="1" spans="1:13" x14ac:dyDescent="0.3">
      <c r="A1" s="5" t="s">
        <v>0</v>
      </c>
    </row>
    <row r="2" spans="1:13" x14ac:dyDescent="0.3">
      <c r="A2" t="s">
        <v>13</v>
      </c>
      <c r="B2" s="8">
        <v>40000</v>
      </c>
    </row>
    <row r="3" spans="1:13" x14ac:dyDescent="0.3">
      <c r="A3" t="s">
        <v>2</v>
      </c>
      <c r="B3" s="8">
        <v>12000</v>
      </c>
    </row>
    <row r="4" spans="1:13" x14ac:dyDescent="0.3">
      <c r="A4" t="s">
        <v>3</v>
      </c>
      <c r="B4" s="9">
        <v>0.11999999731779099</v>
      </c>
    </row>
    <row r="5" spans="1:13" x14ac:dyDescent="0.3">
      <c r="A5" t="s">
        <v>4</v>
      </c>
      <c r="B5" s="2">
        <v>10</v>
      </c>
    </row>
    <row r="6" spans="1:13" x14ac:dyDescent="0.3">
      <c r="A6" t="s">
        <v>5</v>
      </c>
      <c r="B6" s="9">
        <v>0.15999999642372131</v>
      </c>
    </row>
    <row r="8" spans="1:13" x14ac:dyDescent="0.3">
      <c r="A8" s="5" t="s">
        <v>14</v>
      </c>
    </row>
    <row r="9" spans="1:13" x14ac:dyDescent="0.3">
      <c r="A9" t="s">
        <v>15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3" x14ac:dyDescent="0.3">
      <c r="A10" t="s">
        <v>9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3" x14ac:dyDescent="0.3">
      <c r="A11" t="s">
        <v>11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3" x14ac:dyDescent="0.3">
      <c r="A13" s="5" t="s">
        <v>12</v>
      </c>
      <c r="B13" s="6">
        <v>70040.837872423159</v>
      </c>
    </row>
    <row r="15" spans="1:13" x14ac:dyDescent="0.3">
      <c r="A15" s="5" t="s">
        <v>16</v>
      </c>
      <c r="B15" s="5" t="s">
        <v>17</v>
      </c>
      <c r="D15">
        <v>1</v>
      </c>
      <c r="E15">
        <v>2</v>
      </c>
      <c r="F15">
        <v>3</v>
      </c>
      <c r="G15">
        <v>4</v>
      </c>
      <c r="H15">
        <v>5</v>
      </c>
      <c r="I15">
        <v>6</v>
      </c>
      <c r="J15">
        <v>7</v>
      </c>
      <c r="K15">
        <v>8</v>
      </c>
      <c r="L15">
        <v>9</v>
      </c>
      <c r="M15">
        <v>10</v>
      </c>
    </row>
    <row r="16" spans="1:13" x14ac:dyDescent="0.3">
      <c r="A16" s="10">
        <v>0.16</v>
      </c>
      <c r="B16" s="6">
        <v>70040.835521564717</v>
      </c>
      <c r="D16" s="6">
        <v>12000</v>
      </c>
      <c r="E16" s="6">
        <v>13440.000057220459</v>
      </c>
      <c r="F16" s="6">
        <v>15052.800128173829</v>
      </c>
      <c r="G16" s="6">
        <v>16859.136215332033</v>
      </c>
      <c r="H16" s="6">
        <v>18882.232641562499</v>
      </c>
      <c r="I16" s="6">
        <v>21148.100648587504</v>
      </c>
      <c r="J16" s="6">
        <v>23685.872827260006</v>
      </c>
      <c r="K16" s="6">
        <v>26528.177679474251</v>
      </c>
      <c r="L16" s="6">
        <v>29711.559127507371</v>
      </c>
      <c r="M16" s="6">
        <v>33276.946364484007</v>
      </c>
    </row>
    <row r="17" spans="1:13" x14ac:dyDescent="0.3">
      <c r="A17" s="10">
        <v>0.19</v>
      </c>
      <c r="B17" s="6">
        <v>61686.625125107006</v>
      </c>
      <c r="D17">
        <v>0.8771929824561403</v>
      </c>
      <c r="E17">
        <v>0.78125</v>
      </c>
      <c r="F17">
        <v>0.70422535211267612</v>
      </c>
      <c r="G17">
        <v>0.64102564102564097</v>
      </c>
      <c r="H17">
        <v>0.58823529411764697</v>
      </c>
      <c r="I17">
        <v>0.54347826086956519</v>
      </c>
      <c r="J17">
        <v>0.50505050505050508</v>
      </c>
      <c r="K17">
        <v>0.47169811320754712</v>
      </c>
      <c r="L17">
        <v>0.44247787610619466</v>
      </c>
      <c r="M17">
        <v>0.41666666666666663</v>
      </c>
    </row>
    <row r="18" spans="1:13" x14ac:dyDescent="0.3">
      <c r="A18" s="10">
        <v>0.18</v>
      </c>
      <c r="B18" s="6">
        <v>64311.178802527633</v>
      </c>
    </row>
    <row r="19" spans="1:13" x14ac:dyDescent="0.3">
      <c r="A19" s="10">
        <v>0.15</v>
      </c>
      <c r="B19" s="6">
        <v>73178.214389298257</v>
      </c>
    </row>
    <row r="20" spans="1:13" x14ac:dyDescent="0.3">
      <c r="A20" s="10">
        <v>0.14000000000000001</v>
      </c>
      <c r="B20" s="6">
        <v>76522.701826280507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31503-8AD3-4C92-94C5-F7410A7D9A67}">
  <sheetPr codeName="Hoja2"/>
  <dimension ref="A1:M20"/>
  <sheetViews>
    <sheetView workbookViewId="0"/>
  </sheetViews>
  <sheetFormatPr baseColWidth="10" defaultRowHeight="14.4" x14ac:dyDescent="0.3"/>
  <cols>
    <col min="1" max="1" width="42.21875" bestFit="1" customWidth="1"/>
    <col min="2" max="2" width="12.33203125" bestFit="1" customWidth="1"/>
  </cols>
  <sheetData>
    <row r="1" spans="1:13" x14ac:dyDescent="0.3">
      <c r="A1" s="5" t="s">
        <v>0</v>
      </c>
    </row>
    <row r="2" spans="1:13" x14ac:dyDescent="0.3">
      <c r="A2" t="s">
        <v>13</v>
      </c>
      <c r="B2" s="8">
        <v>40000</v>
      </c>
    </row>
    <row r="3" spans="1:13" x14ac:dyDescent="0.3">
      <c r="A3" t="s">
        <v>2</v>
      </c>
      <c r="B3" s="8">
        <v>12000</v>
      </c>
    </row>
    <row r="4" spans="1:13" x14ac:dyDescent="0.3">
      <c r="A4" t="s">
        <v>3</v>
      </c>
      <c r="B4" s="9">
        <v>0.11999999731779099</v>
      </c>
    </row>
    <row r="5" spans="1:13" x14ac:dyDescent="0.3">
      <c r="A5" t="s">
        <v>4</v>
      </c>
      <c r="B5" s="2">
        <v>10</v>
      </c>
    </row>
    <row r="6" spans="1:13" x14ac:dyDescent="0.3">
      <c r="A6" t="s">
        <v>5</v>
      </c>
      <c r="B6" s="9">
        <v>0.15999999642372131</v>
      </c>
    </row>
    <row r="8" spans="1:13" x14ac:dyDescent="0.3">
      <c r="A8" s="5" t="s">
        <v>14</v>
      </c>
    </row>
    <row r="9" spans="1:13" x14ac:dyDescent="0.3">
      <c r="A9" t="s">
        <v>15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3" x14ac:dyDescent="0.3">
      <c r="A10" t="s">
        <v>9</v>
      </c>
      <c r="B10" s="6">
        <v>12000</v>
      </c>
      <c r="C10" s="6">
        <v>13440.000057220459</v>
      </c>
      <c r="D10" s="6">
        <v>15052.800128173829</v>
      </c>
      <c r="E10" s="6">
        <v>16859.136215332033</v>
      </c>
      <c r="F10" s="6">
        <v>18882.232641562499</v>
      </c>
      <c r="G10" s="6">
        <v>21148.100648587504</v>
      </c>
      <c r="H10" s="6">
        <v>23685.872827260006</v>
      </c>
      <c r="I10" s="6">
        <v>26528.177679474251</v>
      </c>
      <c r="J10" s="6">
        <v>29711.559127507371</v>
      </c>
      <c r="K10" s="6">
        <v>33276.946364484007</v>
      </c>
    </row>
    <row r="11" spans="1:13" x14ac:dyDescent="0.3">
      <c r="A11" t="s">
        <v>11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3" x14ac:dyDescent="0.3">
      <c r="A13" s="5" t="s">
        <v>12</v>
      </c>
      <c r="B13" s="6">
        <v>70040.837872423159</v>
      </c>
    </row>
    <row r="15" spans="1:13" x14ac:dyDescent="0.3">
      <c r="A15" s="5" t="s">
        <v>16</v>
      </c>
      <c r="B15" s="5" t="s">
        <v>17</v>
      </c>
      <c r="D15">
        <v>1</v>
      </c>
      <c r="E15">
        <v>2</v>
      </c>
      <c r="F15">
        <v>3</v>
      </c>
      <c r="G15">
        <v>4</v>
      </c>
      <c r="H15">
        <v>5</v>
      </c>
      <c r="I15">
        <v>6</v>
      </c>
      <c r="J15">
        <v>7</v>
      </c>
      <c r="K15">
        <v>8</v>
      </c>
      <c r="L15">
        <v>9</v>
      </c>
      <c r="M15">
        <v>10</v>
      </c>
    </row>
    <row r="16" spans="1:13" x14ac:dyDescent="0.3">
      <c r="A16" s="10">
        <v>0.17</v>
      </c>
      <c r="B16" s="6">
        <v>67090.886483819821</v>
      </c>
      <c r="D16" s="6">
        <v>12000</v>
      </c>
      <c r="E16" s="6">
        <v>13440.000057220459</v>
      </c>
      <c r="F16" s="6">
        <v>15052.800128173829</v>
      </c>
      <c r="G16" s="6">
        <v>16859.136215332033</v>
      </c>
      <c r="H16" s="6">
        <v>18882.232641562499</v>
      </c>
      <c r="I16" s="6">
        <v>21148.100648587504</v>
      </c>
      <c r="J16" s="6">
        <v>23685.872827260006</v>
      </c>
      <c r="K16" s="6">
        <v>26528.177679474251</v>
      </c>
      <c r="L16" s="6">
        <v>29711.559127507371</v>
      </c>
      <c r="M16" s="6">
        <v>33276.946364484007</v>
      </c>
    </row>
    <row r="17" spans="1:13" x14ac:dyDescent="0.3">
      <c r="A17" s="10">
        <v>0.2</v>
      </c>
      <c r="B17" s="6">
        <v>59203.921761298625</v>
      </c>
      <c r="D17">
        <v>0.90909090909090906</v>
      </c>
      <c r="E17">
        <v>0.83333333333333337</v>
      </c>
      <c r="F17">
        <v>0.76923076923076916</v>
      </c>
      <c r="G17">
        <v>0.7142857142857143</v>
      </c>
      <c r="H17">
        <v>0.66666666666666663</v>
      </c>
      <c r="I17">
        <v>0.625</v>
      </c>
      <c r="J17">
        <v>0.58823529411764697</v>
      </c>
      <c r="K17">
        <v>0.55555555555555558</v>
      </c>
      <c r="L17">
        <v>0.52631578947368418</v>
      </c>
      <c r="M17">
        <v>0.5</v>
      </c>
    </row>
    <row r="18" spans="1:13" x14ac:dyDescent="0.3">
      <c r="A18" s="10">
        <v>0.16</v>
      </c>
      <c r="B18" s="6">
        <v>70040.835521564717</v>
      </c>
    </row>
    <row r="19" spans="1:13" x14ac:dyDescent="0.3">
      <c r="A19" s="10">
        <v>7.0000000000000007E-2</v>
      </c>
      <c r="B19" s="6">
        <v>108200.25124133728</v>
      </c>
    </row>
    <row r="20" spans="1:13" x14ac:dyDescent="0.3">
      <c r="A20" s="10">
        <v>0.1</v>
      </c>
      <c r="B20" s="6">
        <v>92483.004870500954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Hoja3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Jesús Adán Capitaine Martínez</dc:creator>
  <cp:lastModifiedBy>Jesús Adán Capitaine Martínez</cp:lastModifiedBy>
  <dcterms:created xsi:type="dcterms:W3CDTF">2019-02-14T00:33:44Z</dcterms:created>
  <dcterms:modified xsi:type="dcterms:W3CDTF">2019-03-13T16:42:46Z</dcterms:modified>
</cp:coreProperties>
</file>